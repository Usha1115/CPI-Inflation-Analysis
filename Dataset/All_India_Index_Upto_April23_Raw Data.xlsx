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13834deec286c0/文档/My Files/Coding ninja(Excel)/CPI Inflation Case Study/"/>
    </mc:Choice>
  </mc:AlternateContent>
  <xr:revisionPtr revIDLastSave="150" documentId="8_{263DA99B-8459-4639-AD5E-97F2514B3E94}" xr6:coauthVersionLast="47" xr6:coauthVersionMax="47" xr10:uidLastSave="{9C0A44CA-DFD0-4791-ADC0-F2C035E25212}"/>
  <bookViews>
    <workbookView xWindow="-108" yWindow="-108" windowWidth="23256" windowHeight="12456" xr2:uid="{D699A302-8C9A-4F8F-81D4-CEB18D3E8F99}"/>
  </bookViews>
  <sheets>
    <sheet name="Sheet2" sheetId="3" r:id="rId1"/>
    <sheet name="All_India_Index_Upto_April23 (1" sheetId="1" r:id="rId2"/>
    <sheet name="Sheet1" sheetId="2" r:id="rId3"/>
  </sheets>
  <definedNames>
    <definedName name="_xlnm._FilterDatabase" localSheetId="1" hidden="1">'All_India_Index_Upto_April23 (1'!$A$1:$AD$374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D22" i="3"/>
  <c r="D23" i="3"/>
  <c r="D20" i="3"/>
  <c r="I377" i="1"/>
  <c r="I376" i="1"/>
  <c r="J374" i="1"/>
  <c r="B11" i="2"/>
  <c r="B12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<sst xmlns="http://schemas.openxmlformats.org/spreadsheetml/2006/main" count="1043" uniqueCount="66">
  <si>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</si>
  <si>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</si>
  <si>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</si>
  <si>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</si>
  <si>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</si>
  <si>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</si>
  <si>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</si>
  <si>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</si>
  <si>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</si>
  <si>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</si>
  <si>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</si>
  <si>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</si>
  <si>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</si>
  <si>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</si>
  <si>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</si>
  <si>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</si>
  <si>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</si>
  <si>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</si>
  <si>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</si>
  <si>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</si>
  <si>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</si>
  <si>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</si>
  <si>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</si>
  <si>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</si>
  <si>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</si>
  <si>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</si>
  <si>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</si>
  <si>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</si>
  <si>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</si>
  <si>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</si>
  <si>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</si>
  <si>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</si>
  <si>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</si>
  <si>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</si>
  <si>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</si>
  <si>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</si>
  <si>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</si>
  <si>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</si>
  <si>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</si>
  <si>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</si>
  <si>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</si>
  <si>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</si>
  <si>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</si>
  <si>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</si>
  <si>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</si>
  <si>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</si>
  <si>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</si>
  <si>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</si>
  <si>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</si>
  <si>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 xml:space="preserve">year </t>
  </si>
  <si>
    <t>Row Labels</t>
  </si>
  <si>
    <t>Grand Total</t>
  </si>
  <si>
    <t>Lowest</t>
  </si>
  <si>
    <t>Largest</t>
  </si>
  <si>
    <t>Max of Fruits</t>
  </si>
  <si>
    <t>Min of Fruits</t>
  </si>
  <si>
    <t>StudentName</t>
  </si>
  <si>
    <t>A</t>
  </si>
  <si>
    <t>B</t>
  </si>
  <si>
    <t>C</t>
  </si>
  <si>
    <t>D</t>
  </si>
  <si>
    <t>Score</t>
  </si>
  <si>
    <t>Result</t>
  </si>
  <si>
    <t>Pass</t>
  </si>
  <si>
    <t>Fail</t>
  </si>
  <si>
    <t>Schorlarship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</si>
</sst>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Usha" refreshedDate="45891.470493749999" createdVersion="8" refreshedVersion="8" minRefreshableVersion="3" recordCount="372" xr:uid="{2FA05324-574B-487D-BA93-DE8936F47DF4}">
  <cacheSource type="worksheet">
    <worksheetSource ref="A1:AD373" sheet="All_India_Index_Upto_April23 (1"/>
  </cacheSource>
  <cacheFields count="30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Cereals and products" numFmtId="0">
      <sharedItems containsMixedTypes="1" containsNumber="1" minValue="107.5" maxValue="174.8"/>
    </cacheField>
    <cacheField name="Meat and fish" numFmtId="0">
      <sharedItems containsMixedTypes="1" containsNumber="1" minValue="106.3" maxValue="223.4"/>
    </cacheField>
    <cacheField name="Egg" numFmtId="0">
      <sharedItems containsMixedTypes="1" containsNumber="1" minValue="102.7" maxValue="197"/>
    </cacheField>
    <cacheField name="Milk and products" numFmtId="0">
      <sharedItems containsMixedTypes="1" containsNumber="1" minValue="103.6" maxValue="179.6"/>
    </cacheField>
    <cacheField name="Oils and fats" numFmtId="0">
      <sharedItems containsMixedTypes="1" containsNumber="1" minValue="101.1" maxValue="209.9"/>
    </cacheField>
    <cacheField name="Fruits" numFmtId="0">
      <sharedItems containsMixedTypes="1" containsNumber="1" minValue="102.3" maxValue="179.5"/>
    </cacheField>
    <cacheField name="Vegetables" numFmtId="0">
      <sharedItems containsMixedTypes="1" containsNumber="1" minValue="101.4" maxValue="245.3"/>
    </cacheField>
    <cacheField name="Pulses and products" numFmtId="0">
      <sharedItems containsMixedTypes="1" containsNumber="1" minValue="103.5" maxValue="191.6"/>
    </cacheField>
    <cacheField name="Sugar and Confectionery" numFmtId="0">
      <sharedItems containsMixedTypes="1" containsNumber="1" minValue="85.3" maxValue="124.2"/>
    </cacheField>
    <cacheField name="Spices" numFmtId="0">
      <sharedItems containsMixedTypes="1" containsNumber="1" minValue="101.8" maxValue="221"/>
    </cacheField>
    <cacheField name="Non-alcoholic beverages" numFmtId="0">
      <sharedItems containsMixedTypes="1" containsNumber="1" minValue="104.8" maxValue="178.7"/>
    </cacheField>
    <cacheField name="Prepared meals, snacks, sweets etc." numFmtId="0">
      <sharedItems containsMixedTypes="1" containsNumber="1" minValue="106.7" maxValue="197.7"/>
    </cacheField>
    <cacheField name="Food and beverages" numFmtId="0">
      <sharedItems containsMixedTypes="1" containsNumber="1" minValue="105.5" maxValue="183.3"/>
    </cacheField>
    <cacheField name="Pan, tobacco and intoxicants" numFmtId="0">
      <sharedItems containsMixedTypes="1" containsNumber="1" minValue="105.1" maxValue="204.2"/>
    </cacheField>
    <cacheField name="Clothing" numFmtId="0">
      <sharedItems containsMixedTypes="1" containsNumber="1" minValue="105.9" maxValue="191.2"/>
    </cacheField>
    <cacheField name="Footwear" numFmtId="0">
      <sharedItems containsMixedTypes="1" containsNumber="1" minValue="105" maxValue="187.9"/>
    </cacheField>
    <cacheField name="Clothing and footwear" numFmtId="0">
      <sharedItems containsMixedTypes="1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MixedTypes="1" containsNumber="1" minValue="105.4" maxValue="183.4"/>
    </cacheField>
    <cacheField name="Household goods and services" numFmtId="0">
      <sharedItems containsMixedTypes="1" containsNumber="1" minValue="104.8" maxValue="179.8"/>
    </cacheField>
    <cacheField name="Health" numFmtId="0">
      <sharedItems containsMixedTypes="1" containsNumber="1" minValue="104" maxValue="187.8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ersonal care and effects" numFmtId="0">
      <sharedItems containsMixedTypes="1" containsNumber="1" minValue="102.1" maxValue="185.6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s v="January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x v="1"/>
    <x v="0"/>
    <s v="January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x v="2"/>
    <x v="0"/>
    <s v="January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x v="0"/>
    <x v="0"/>
    <s v="February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x v="1"/>
    <x v="0"/>
    <s v="February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x v="2"/>
    <x v="0"/>
    <s v="February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x v="0"/>
    <x v="0"/>
    <s v="March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x v="1"/>
    <x v="0"/>
    <s v="March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x v="2"/>
    <x v="0"/>
    <s v="March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x v="0"/>
    <x v="0"/>
    <s v="April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x v="1"/>
    <x v="0"/>
    <s v="April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x v="2"/>
    <x v="0"/>
    <s v="April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x v="0"/>
    <x v="0"/>
    <s v="May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x v="1"/>
    <x v="0"/>
    <s v="May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x v="2"/>
    <x v="0"/>
    <s v="May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x v="0"/>
    <x v="0"/>
    <s v="June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x v="1"/>
    <x v="0"/>
    <s v="June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x v="2"/>
    <x v="0"/>
    <s v="June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x v="0"/>
    <x v="0"/>
    <s v="July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x v="1"/>
    <x v="0"/>
    <s v="July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x v="2"/>
    <x v="0"/>
    <s v="July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x v="0"/>
    <x v="0"/>
    <s v="August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x v="1"/>
    <x v="0"/>
    <s v="August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x v="2"/>
    <x v="0"/>
    <s v="August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x v="0"/>
    <x v="0"/>
    <s v="September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x v="1"/>
    <x v="0"/>
    <s v="September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x v="2"/>
    <x v="0"/>
    <s v="September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x v="0"/>
    <x v="0"/>
    <s v="October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x v="1"/>
    <x v="0"/>
    <s v="October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x v="2"/>
    <x v="0"/>
    <s v="October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x v="0"/>
    <x v="0"/>
    <s v="November 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x v="1"/>
    <x v="0"/>
    <s v="November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x v="2"/>
    <x v="0"/>
    <s v="November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x v="0"/>
    <x v="0"/>
    <s v="December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x v="1"/>
    <x v="0"/>
    <s v="December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x v="2"/>
    <x v="0"/>
    <s v="December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x v="0"/>
    <x v="1"/>
    <s v="January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x v="1"/>
    <x v="1"/>
    <s v="January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x v="2"/>
    <x v="1"/>
    <s v="January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x v="0"/>
    <x v="1"/>
    <s v="February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x v="1"/>
    <x v="1"/>
    <s v="February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x v="2"/>
    <x v="1"/>
    <s v="February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x v="0"/>
    <x v="1"/>
    <s v="March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x v="1"/>
    <x v="1"/>
    <s v="March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x v="2"/>
    <x v="1"/>
    <s v="Marcrh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x v="0"/>
    <x v="1"/>
    <s v="April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x v="1"/>
    <x v="1"/>
    <s v="April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x v="2"/>
    <x v="1"/>
    <s v="April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x v="0"/>
    <x v="1"/>
    <s v="May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x v="1"/>
    <x v="1"/>
    <s v="May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x v="2"/>
    <x v="1"/>
    <s v="May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x v="0"/>
    <x v="1"/>
    <s v="June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x v="1"/>
    <x v="1"/>
    <s v="June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x v="2"/>
    <x v="1"/>
    <s v="June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x v="0"/>
    <x v="1"/>
    <s v="July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x v="1"/>
    <x v="1"/>
    <s v="July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x v="2"/>
    <x v="1"/>
    <s v="July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x v="0"/>
    <x v="1"/>
    <s v="August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x v="1"/>
    <x v="1"/>
    <s v="August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x v="2"/>
    <x v="1"/>
    <s v="August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x v="0"/>
    <x v="1"/>
    <s v="September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x v="1"/>
    <x v="1"/>
    <s v="September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x v="2"/>
    <x v="1"/>
    <s v="September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x v="0"/>
    <x v="1"/>
    <s v="October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x v="1"/>
    <x v="1"/>
    <s v="October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x v="2"/>
    <x v="1"/>
    <s v="October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x v="0"/>
    <x v="1"/>
    <s v="November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x v="1"/>
    <x v="1"/>
    <s v="November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x v="2"/>
    <x v="1"/>
    <s v="November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x v="0"/>
    <x v="1"/>
    <s v="December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x v="1"/>
    <x v="1"/>
    <s v="December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x v="2"/>
    <x v="1"/>
    <s v="December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x v="0"/>
    <x v="2"/>
    <s v="January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x v="1"/>
    <x v="2"/>
    <s v="January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x v="2"/>
    <x v="2"/>
    <s v="January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x v="0"/>
    <x v="2"/>
    <s v="February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x v="1"/>
    <x v="2"/>
    <s v="February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x v="2"/>
    <x v="2"/>
    <s v="February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x v="0"/>
    <x v="2"/>
    <s v="March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x v="1"/>
    <x v="2"/>
    <s v="March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x v="2"/>
    <x v="2"/>
    <s v="March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x v="0"/>
    <x v="2"/>
    <s v="April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x v="1"/>
    <x v="2"/>
    <s v="April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x v="2"/>
    <x v="2"/>
    <s v="April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x v="0"/>
    <x v="2"/>
    <s v="May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x v="1"/>
    <x v="2"/>
    <s v="May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x v="2"/>
    <x v="2"/>
    <s v="May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x v="0"/>
    <x v="2"/>
    <s v="June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x v="1"/>
    <x v="2"/>
    <s v="June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x v="2"/>
    <x v="2"/>
    <s v="June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x v="0"/>
    <x v="2"/>
    <s v="July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x v="1"/>
    <x v="2"/>
    <s v="July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x v="2"/>
    <x v="2"/>
    <s v="July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x v="0"/>
    <x v="2"/>
    <s v="August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x v="1"/>
    <x v="2"/>
    <s v="August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x v="2"/>
    <x v="2"/>
    <s v="August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x v="0"/>
    <x v="2"/>
    <s v="September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x v="1"/>
    <x v="2"/>
    <s v="September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x v="2"/>
    <x v="2"/>
    <s v="September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x v="0"/>
    <x v="2"/>
    <s v="October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x v="1"/>
    <x v="2"/>
    <s v="October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x v="2"/>
    <x v="2"/>
    <s v="October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x v="0"/>
    <x v="2"/>
    <s v="November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x v="1"/>
    <x v="2"/>
    <s v="November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x v="2"/>
    <x v="2"/>
    <s v="November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x v="0"/>
    <x v="2"/>
    <s v="December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x v="1"/>
    <x v="2"/>
    <s v="December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x v="2"/>
    <x v="2"/>
    <s v="December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x v="0"/>
    <x v="3"/>
    <s v="January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x v="1"/>
    <x v="3"/>
    <s v="January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x v="2"/>
    <x v="3"/>
    <s v="January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x v="0"/>
    <x v="3"/>
    <s v="February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x v="1"/>
    <x v="3"/>
    <s v="February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x v="2"/>
    <x v="3"/>
    <s v="February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x v="0"/>
    <x v="3"/>
    <s v="March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x v="1"/>
    <x v="3"/>
    <s v="March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x v="2"/>
    <x v="3"/>
    <s v="March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x v="0"/>
    <x v="3"/>
    <s v="April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x v="1"/>
    <x v="3"/>
    <s v="April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x v="2"/>
    <x v="3"/>
    <s v="April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x v="0"/>
    <x v="3"/>
    <s v="May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x v="1"/>
    <x v="3"/>
    <s v="May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x v="2"/>
    <x v="3"/>
    <s v="May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x v="0"/>
    <x v="3"/>
    <s v="June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x v="1"/>
    <x v="3"/>
    <s v="June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x v="2"/>
    <x v="3"/>
    <s v="June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x v="0"/>
    <x v="3"/>
    <s v="July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x v="1"/>
    <x v="3"/>
    <s v="July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x v="2"/>
    <x v="3"/>
    <s v="July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x v="0"/>
    <x v="3"/>
    <s v="August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x v="1"/>
    <x v="3"/>
    <s v="August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x v="2"/>
    <x v="3"/>
    <s v="August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x v="0"/>
    <x v="3"/>
    <s v="September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x v="1"/>
    <x v="3"/>
    <s v="September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x v="2"/>
    <x v="3"/>
    <s v="September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x v="0"/>
    <x v="3"/>
    <s v="October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x v="1"/>
    <x v="3"/>
    <s v="October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x v="2"/>
    <x v="3"/>
    <s v="October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x v="0"/>
    <x v="3"/>
    <s v="November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x v="1"/>
    <x v="3"/>
    <s v="November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x v="2"/>
    <x v="3"/>
    <s v="November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x v="0"/>
    <x v="3"/>
    <s v="December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x v="1"/>
    <x v="3"/>
    <s v="December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x v="2"/>
    <x v="3"/>
    <s v="December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x v="0"/>
    <x v="4"/>
    <s v="January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x v="1"/>
    <x v="4"/>
    <s v="January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x v="2"/>
    <x v="4"/>
    <s v="January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x v="0"/>
    <x v="4"/>
    <s v="February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x v="1"/>
    <x v="4"/>
    <s v="February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x v="2"/>
    <x v="4"/>
    <s v="February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x v="0"/>
    <x v="4"/>
    <s v="March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x v="1"/>
    <x v="4"/>
    <s v="March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x v="2"/>
    <x v="4"/>
    <s v="March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x v="0"/>
    <x v="4"/>
    <s v="April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x v="1"/>
    <x v="4"/>
    <s v="April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x v="2"/>
    <x v="4"/>
    <s v="April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x v="0"/>
    <x v="4"/>
    <s v="May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x v="1"/>
    <x v="4"/>
    <s v="May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x v="2"/>
    <x v="4"/>
    <s v="May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x v="0"/>
    <x v="4"/>
    <s v="June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x v="1"/>
    <x v="4"/>
    <s v="June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x v="2"/>
    <x v="4"/>
    <s v="June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x v="0"/>
    <x v="4"/>
    <s v="July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x v="1"/>
    <x v="4"/>
    <s v="July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x v="2"/>
    <x v="4"/>
    <s v="July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x v="0"/>
    <x v="4"/>
    <s v="August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x v="1"/>
    <x v="4"/>
    <s v="August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x v="2"/>
    <x v="4"/>
    <s v="August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x v="0"/>
    <x v="4"/>
    <s v="September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x v="1"/>
    <x v="4"/>
    <s v="September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x v="2"/>
    <x v="4"/>
    <s v="September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x v="0"/>
    <x v="4"/>
    <s v="October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x v="1"/>
    <x v="4"/>
    <s v="October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x v="2"/>
    <x v="4"/>
    <s v="October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x v="0"/>
    <x v="4"/>
    <s v="November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x v="1"/>
    <x v="4"/>
    <s v="November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x v="2"/>
    <x v="4"/>
    <s v="November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x v="0"/>
    <x v="4"/>
    <s v="December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x v="1"/>
    <x v="4"/>
    <s v="December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x v="2"/>
    <x v="4"/>
    <s v="December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x v="0"/>
    <x v="5"/>
    <s v="January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x v="1"/>
    <x v="5"/>
    <s v="January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x v="2"/>
    <x v="5"/>
    <s v="January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x v="0"/>
    <x v="5"/>
    <s v="February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x v="1"/>
    <x v="5"/>
    <s v="February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x v="2"/>
    <x v="5"/>
    <s v="February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x v="0"/>
    <x v="5"/>
    <s v="March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x v="1"/>
    <x v="5"/>
    <s v="March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x v="2"/>
    <x v="5"/>
    <s v="March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s v="April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x v="1"/>
    <x v="5"/>
    <s v="April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5"/>
    <s v="April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s v="May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x v="1"/>
    <x v="5"/>
    <s v="May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x v="2"/>
    <x v="5"/>
    <s v="May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x v="0"/>
    <x v="5"/>
    <s v="June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x v="1"/>
    <x v="5"/>
    <s v="June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x v="2"/>
    <x v="5"/>
    <s v="June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x v="0"/>
    <x v="5"/>
    <s v="July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x v="1"/>
    <x v="5"/>
    <s v="July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x v="2"/>
    <x v="5"/>
    <s v="July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s v="August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x v="1"/>
    <x v="5"/>
    <s v="August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x v="2"/>
    <x v="5"/>
    <s v="August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x v="0"/>
    <x v="5"/>
    <s v="September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x v="1"/>
    <x v="5"/>
    <s v="September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x v="2"/>
    <x v="5"/>
    <s v="September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s v="October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x v="1"/>
    <x v="5"/>
    <s v="October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x v="2"/>
    <x v="5"/>
    <s v="October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s v="November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x v="1"/>
    <x v="5"/>
    <s v="November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5"/>
    <s v="November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s v="December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x v="1"/>
    <x v="5"/>
    <s v="December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5"/>
    <s v="December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s v="January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x v="1"/>
    <x v="6"/>
    <s v="January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x v="2"/>
    <x v="6"/>
    <s v="January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x v="0"/>
    <x v="6"/>
    <s v="February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x v="1"/>
    <x v="6"/>
    <s v="February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x v="2"/>
    <x v="6"/>
    <s v="February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x v="0"/>
    <x v="6"/>
    <s v="March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x v="1"/>
    <x v="6"/>
    <s v="March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6"/>
    <s v="March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s v="May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x v="1"/>
    <x v="6"/>
    <s v="May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x v="2"/>
    <x v="6"/>
    <s v="May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s v="June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6"/>
    <s v="June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x v="2"/>
    <x v="6"/>
    <s v="June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x v="0"/>
    <x v="6"/>
    <s v="July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x v="1"/>
    <x v="6"/>
    <s v="July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x v="2"/>
    <x v="6"/>
    <s v="July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s v="August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x v="1"/>
    <x v="6"/>
    <s v="August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x v="2"/>
    <x v="6"/>
    <s v="August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x v="0"/>
    <x v="6"/>
    <s v="September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x v="1"/>
    <x v="6"/>
    <s v="September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x v="2"/>
    <x v="6"/>
    <s v="September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s v="October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6"/>
    <s v="October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x v="2"/>
    <x v="6"/>
    <s v="October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x v="0"/>
    <x v="6"/>
    <s v="November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x v="1"/>
    <x v="6"/>
    <s v="November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6"/>
    <s v="November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s v="December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x v="1"/>
    <x v="6"/>
    <s v="December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6"/>
    <s v="December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s v="January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x v="1"/>
    <x v="7"/>
    <s v="January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x v="2"/>
    <x v="7"/>
    <s v="January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s v="February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x v="1"/>
    <x v="7"/>
    <s v="February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x v="2"/>
    <x v="7"/>
    <s v="February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s v="March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x v="1"/>
    <x v="7"/>
    <s v="March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x v="2"/>
    <x v="7"/>
    <s v="March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s v="April"/>
    <n v="147.19999999999999"/>
    <s v="NA"/>
    <n v="146.9"/>
    <n v="155.6"/>
    <n v="137.1"/>
    <n v="147.30000000000001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</r>
  <r>
    <x v="1"/>
    <x v="7"/>
    <s v="April"/>
    <n v="151.80000000000001"/>
    <s v="NA"/>
    <n v="151.9"/>
    <n v="155.5"/>
    <n v="131.6"/>
    <n v="152.9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</r>
  <r>
    <x v="2"/>
    <x v="7"/>
    <s v="April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s v="NA"/>
  </r>
  <r>
    <x v="0"/>
    <x v="7"/>
    <s v="May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1"/>
    <x v="7"/>
    <s v="May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2"/>
    <x v="7"/>
    <s v="May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0"/>
    <x v="7"/>
    <s v="June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s v="June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s v="June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s v="July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s v="July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s v="July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s v="August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x v="1"/>
    <x v="7"/>
    <s v="August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7"/>
    <s v="August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x v="0"/>
    <x v="7"/>
    <s v="September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x v="1"/>
    <x v="7"/>
    <s v="September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x v="2"/>
    <x v="7"/>
    <s v="September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x v="0"/>
    <x v="7"/>
    <s v="October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x v="1"/>
    <x v="7"/>
    <s v="October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x v="2"/>
    <x v="7"/>
    <s v="October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x v="0"/>
    <x v="7"/>
    <s v="November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x v="1"/>
    <x v="7"/>
    <s v="November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x v="2"/>
    <x v="7"/>
    <s v="November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x v="0"/>
    <x v="7"/>
    <s v="December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x v="1"/>
    <x v="7"/>
    <s v="December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x v="2"/>
    <x v="7"/>
    <s v="December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s v="January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x v="1"/>
    <x v="8"/>
    <s v="January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x v="2"/>
    <x v="8"/>
    <s v="January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x v="0"/>
    <x v="8"/>
    <s v="February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x v="1"/>
    <x v="8"/>
    <s v="February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x v="2"/>
    <x v="8"/>
    <s v="February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x v="0"/>
    <x v="8"/>
    <s v="March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8"/>
    <s v="March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x v="2"/>
    <x v="8"/>
    <s v="March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s v="April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</r>
  <r>
    <x v="1"/>
    <x v="8"/>
    <s v="April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x v="2"/>
    <x v="8"/>
    <s v="April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s v="May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x v="1"/>
    <x v="8"/>
    <s v="May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x v="2"/>
    <x v="8"/>
    <s v="May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x v="0"/>
    <x v="8"/>
    <s v="June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x v="1"/>
    <x v="8"/>
    <s v="June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x v="2"/>
    <x v="8"/>
    <s v="June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s v="July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x v="1"/>
    <x v="8"/>
    <s v="July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x v="2"/>
    <x v="8"/>
    <s v="July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x v="0"/>
    <x v="8"/>
    <s v="August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x v="1"/>
    <x v="8"/>
    <s v="August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x v="2"/>
    <x v="8"/>
    <s v="August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x v="0"/>
    <x v="8"/>
    <s v="September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8"/>
    <s v="September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x v="2"/>
    <x v="8"/>
    <s v="September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x v="0"/>
    <x v="8"/>
    <s v="October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x v="1"/>
    <x v="8"/>
    <s v="October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x v="2"/>
    <x v="8"/>
    <s v="October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x v="0"/>
    <x v="8"/>
    <s v="November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x v="1"/>
    <x v="8"/>
    <s v="November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8"/>
    <s v="November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x v="0"/>
    <x v="8"/>
    <s v="December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x v="1"/>
    <x v="8"/>
    <s v="December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x v="2"/>
    <x v="8"/>
    <s v="December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x v="0"/>
    <x v="9"/>
    <s v="January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x v="1"/>
    <x v="9"/>
    <s v="January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x v="2"/>
    <x v="9"/>
    <s v="January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x v="0"/>
    <x v="9"/>
    <s v="February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x v="1"/>
    <x v="9"/>
    <s v="February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x v="2"/>
    <x v="9"/>
    <s v="February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x v="0"/>
    <x v="9"/>
    <s v="March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x v="1"/>
    <x v="9"/>
    <s v="March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x v="2"/>
    <x v="9"/>
    <s v="March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x v="0"/>
    <x v="9"/>
    <s v="April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x v="1"/>
    <x v="9"/>
    <s v="April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x v="2"/>
    <x v="9"/>
    <s v="April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x v="0"/>
    <x v="9"/>
    <s v="May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x v="1"/>
    <x v="9"/>
    <s v="May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x v="2"/>
    <x v="9"/>
    <s v="May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x v="0"/>
    <x v="9"/>
    <s v="June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x v="1"/>
    <x v="9"/>
    <s v="June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x v="2"/>
    <x v="9"/>
    <s v="June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x v="0"/>
    <x v="9"/>
    <s v="July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x v="1"/>
    <x v="9"/>
    <s v="July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x v="2"/>
    <x v="9"/>
    <s v="July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x v="0"/>
    <x v="9"/>
    <s v="August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x v="1"/>
    <x v="9"/>
    <s v="August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x v="2"/>
    <x v="9"/>
    <s v="August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x v="0"/>
    <x v="9"/>
    <s v="September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x v="1"/>
    <x v="9"/>
    <s v="September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x v="2"/>
    <x v="9"/>
    <s v="September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x v="0"/>
    <x v="9"/>
    <s v="October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x v="1"/>
    <x v="9"/>
    <s v="October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x v="2"/>
    <x v="9"/>
    <s v="October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x v="0"/>
    <x v="9"/>
    <s v="November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x v="1"/>
    <x v="9"/>
    <s v="November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x v="2"/>
    <x v="9"/>
    <s v="November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x v="0"/>
    <x v="9"/>
    <s v="December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x v="1"/>
    <x v="9"/>
    <s v="December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x v="2"/>
    <x v="9"/>
    <s v="December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x v="0"/>
    <x v="10"/>
    <s v="January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x v="1"/>
    <x v="10"/>
    <s v="January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x v="2"/>
    <x v="10"/>
    <s v="January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x v="0"/>
    <x v="10"/>
    <s v="February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x v="1"/>
    <x v="10"/>
    <s v="February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x v="2"/>
    <x v="10"/>
    <s v="February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x v="0"/>
    <x v="10"/>
    <s v="March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x v="1"/>
    <x v="10"/>
    <s v="March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x v="2"/>
    <x v="10"/>
    <s v="March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x v="0"/>
    <x v="10"/>
    <s v="April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</r>
  <r>
    <x v="1"/>
    <x v="10"/>
    <s v="April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x v="2"/>
    <x v="10"/>
    <s v="April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x v="0"/>
    <x v="10"/>
    <s v="May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</r>
  <r>
    <x v="1"/>
    <x v="10"/>
    <s v="May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x v="2"/>
    <x v="10"/>
    <s v="May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0649D-CB0D-460F-9E68-1F62DA8A854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7" firstHeaderRow="1" firstDataRow="1" firstDataCol="1" rowPageCount="1" colPageCount="1"/>
  <pivotFields count="30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12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2"/>
    </i>
    <i t="grand">
      <x/>
    </i>
  </rowItems>
  <colItems count="1">
    <i/>
  </colItems>
  <pageFields count="1">
    <pageField fld="0" hier="-1"/>
  </pageFields>
  <dataFields count="1">
    <dataField name="Min of Fruits" fld="8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F3016-36C2-4C3E-B10C-0FE4D9465E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0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12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2"/>
    </i>
    <i t="grand">
      <x/>
    </i>
  </rowItems>
  <colItems count="1">
    <i/>
  </colItems>
  <pageFields count="1">
    <pageField fld="0" hier="-1"/>
  </pageFields>
  <dataFields count="1">
    <dataField name="Max of Fruits" fld="8" subtotal="max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8874-CD42-4D09-82B0-9F605BAF013F}">
  <dimension ref="A1:D23"/>
  <sheetViews>
    <sheetView tabSelected="1" topLeftCell="A10"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11.5546875" bestFit="1" customWidth="1"/>
  </cols>
  <sheetData>
    <row r="1" spans="1:2" x14ac:dyDescent="0.3">
      <c r="A1" s="2" t="s">
        <v>0</v>
      </c>
      <c r="B1" t="s">
        <v>30</v>
      </c>
    </row>
    <row r="3" spans="1:2" x14ac:dyDescent="0.3">
      <c r="A3" s="2" t="s">
        <v>50</v>
      </c>
      <c r="B3" t="s">
        <v>54</v>
      </c>
    </row>
    <row r="4" spans="1:2" x14ac:dyDescent="0.3">
      <c r="A4" s="3">
        <v>2015</v>
      </c>
      <c r="B4">
        <v>134.19999999999999</v>
      </c>
    </row>
    <row r="5" spans="1:2" x14ac:dyDescent="0.3">
      <c r="A5" s="3" t="s">
        <v>51</v>
      </c>
      <c r="B5">
        <v>134.19999999999999</v>
      </c>
    </row>
    <row r="13" spans="1:2" x14ac:dyDescent="0.3">
      <c r="A13" s="2" t="s">
        <v>0</v>
      </c>
      <c r="B13" t="s">
        <v>30</v>
      </c>
    </row>
    <row r="15" spans="1:2" x14ac:dyDescent="0.3">
      <c r="A15" s="2" t="s">
        <v>50</v>
      </c>
      <c r="B15" t="s">
        <v>55</v>
      </c>
    </row>
    <row r="16" spans="1:2" x14ac:dyDescent="0.3">
      <c r="A16" s="3">
        <v>2015</v>
      </c>
      <c r="B16">
        <v>129.4</v>
      </c>
    </row>
    <row r="17" spans="1:4" x14ac:dyDescent="0.3">
      <c r="A17" s="3" t="s">
        <v>51</v>
      </c>
      <c r="B17">
        <v>129.4</v>
      </c>
    </row>
    <row r="19" spans="1:4" x14ac:dyDescent="0.3">
      <c r="A19" t="s">
        <v>56</v>
      </c>
      <c r="B19" t="s">
        <v>61</v>
      </c>
      <c r="C19" t="s">
        <v>62</v>
      </c>
      <c r="D19" t="s">
        <v>65</v>
      </c>
    </row>
    <row r="20" spans="1:4" x14ac:dyDescent="0.3">
      <c r="A20" t="s">
        <v>57</v>
      </c>
      <c r="B20">
        <v>65</v>
      </c>
      <c r="C20" t="s">
        <v>63</v>
      </c>
      <c r="D20" t="str">
        <f>IF(OR(B20&gt;60, C20="Pass"), "Eligible", "Not Eligible")</f>
        <v>Eligible</v>
      </c>
    </row>
    <row r="21" spans="1:4" x14ac:dyDescent="0.3">
      <c r="A21" t="s">
        <v>58</v>
      </c>
      <c r="B21">
        <v>75</v>
      </c>
      <c r="C21" t="s">
        <v>64</v>
      </c>
      <c r="D21" t="str">
        <f t="shared" ref="D21:D23" si="0">IF(OR(B21&gt;60, C21="Pass"), "Eligible", "Not Eligible")</f>
        <v>Eligible</v>
      </c>
    </row>
    <row r="22" spans="1:4" x14ac:dyDescent="0.3">
      <c r="A22" t="s">
        <v>59</v>
      </c>
      <c r="B22">
        <v>55</v>
      </c>
      <c r="C22" t="s">
        <v>63</v>
      </c>
      <c r="D22" t="str">
        <f t="shared" si="0"/>
        <v>Eligible</v>
      </c>
    </row>
    <row r="23" spans="1:4" x14ac:dyDescent="0.3">
      <c r="A23" t="s">
        <v>60</v>
      </c>
      <c r="B23">
        <v>85</v>
      </c>
      <c r="C23" t="s">
        <v>64</v>
      </c>
      <c r="D23" t="str">
        <f t="shared" si="0"/>
        <v>Eligible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9DDD-0C6E-4CFA-8692-2F344787FDDB}">
  <dimension ref="A1:AD377"/>
  <sheetViews>
    <sheetView topLeftCell="A362" workbookViewId="0">
      <selection activeCell="J374" sqref="J374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10" bestFit="1" customWidth="1"/>
    <col min="4" max="4" width="18.21875" bestFit="1" customWidth="1"/>
    <col min="5" max="5" width="12.109375" bestFit="1" customWidth="1"/>
    <col min="6" max="6" width="6" bestFit="1" customWidth="1"/>
    <col min="7" max="7" width="15.5546875" bestFit="1" customWidth="1"/>
    <col min="8" max="8" width="11" bestFit="1" customWidth="1"/>
    <col min="9" max="9" width="8.109375" bestFit="1" customWidth="1"/>
    <col min="10" max="10" width="9.88671875" bestFit="1" customWidth="1"/>
    <col min="11" max="11" width="17.21875" bestFit="1" customWidth="1"/>
    <col min="12" max="12" width="21.109375" bestFit="1" customWidth="1"/>
    <col min="13" max="13" width="6" bestFit="1" customWidth="1"/>
    <col min="14" max="14" width="21.44140625" bestFit="1" customWidth="1"/>
    <col min="15" max="15" width="30.44140625" bestFit="1" customWidth="1"/>
    <col min="16" max="16" width="17.44140625" bestFit="1" customWidth="1"/>
    <col min="17" max="17" width="24.6640625" bestFit="1" customWidth="1"/>
    <col min="18" max="18" width="7.6640625" bestFit="1" customWidth="1"/>
    <col min="20" max="20" width="19.44140625" bestFit="1" customWidth="1"/>
    <col min="21" max="21" width="7.44140625" bestFit="1" customWidth="1"/>
    <col min="22" max="22" width="11.6640625" bestFit="1" customWidth="1"/>
    <col min="23" max="23" width="25.77734375" bestFit="1" customWidth="1"/>
    <col min="24" max="24" width="6.33203125" bestFit="1" customWidth="1"/>
    <col min="25" max="25" width="25.88671875" bestFit="1" customWidth="1"/>
    <col min="26" max="26" width="23.6640625" bestFit="1" customWidth="1"/>
    <col min="27" max="27" width="9.109375" bestFit="1" customWidth="1"/>
    <col min="28" max="28" width="21.88671875" bestFit="1" customWidth="1"/>
    <col min="29" max="29" width="12.5546875" bestFit="1" customWidth="1"/>
    <col min="30" max="30" width="12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  <row r="374" spans="1:30" x14ac:dyDescent="0.3">
      <c r="J374">
        <f>AVERAGEIF(A2:A373,"Rural",J1:J373)</f>
        <v>153.95491803278696</v>
      </c>
    </row>
    <row r="376" spans="1:30" x14ac:dyDescent="0.3">
      <c r="H376" t="s">
        <v>52</v>
      </c>
      <c r="I376">
        <f>MIN(I74:I107)</f>
        <v>121.3</v>
      </c>
    </row>
    <row r="377" spans="1:30" x14ac:dyDescent="0.3">
      <c r="H377" t="s">
        <v>53</v>
      </c>
      <c r="I377">
        <f>MAX(I74:I107)</f>
        <v>134.19999999999999</v>
      </c>
    </row>
  </sheetData>
  <autoFilter ref="A1:AD374" xr:uid="{60239DDD-0C6E-4CFA-8692-2F344787FDD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A9B3-A4FE-441B-BBDF-0CD701F46582}">
  <dimension ref="A1:B12"/>
  <sheetViews>
    <sheetView workbookViewId="0">
      <selection activeCell="B5" sqref="B5"/>
    </sheetView>
  </sheetViews>
  <sheetFormatPr defaultRowHeight="14.4" x14ac:dyDescent="0.3"/>
  <cols>
    <col min="2" max="2" width="10.5546875" customWidth="1"/>
  </cols>
  <sheetData>
    <row r="1" spans="1:2" x14ac:dyDescent="0.3">
      <c r="A1" t="s">
        <v>49</v>
      </c>
      <c r="B1" t="s">
        <v>9</v>
      </c>
    </row>
    <row r="2" spans="1:2" x14ac:dyDescent="0.3">
      <c r="A2">
        <v>2013</v>
      </c>
      <c r="B2" s="1">
        <f>AVERAGE('All_India_Index_Upto_April23 (1'!J2:J35)</f>
        <v>134.76470588235296</v>
      </c>
    </row>
    <row r="3" spans="1:2" x14ac:dyDescent="0.3">
      <c r="A3">
        <v>2014</v>
      </c>
      <c r="B3" s="1">
        <f>AVERAGE('All_India_Index_Upto_April23 (1'!J38:J71)</f>
        <v>139.47647058823529</v>
      </c>
    </row>
    <row r="4" spans="1:2" x14ac:dyDescent="0.3">
      <c r="A4">
        <v>2015</v>
      </c>
      <c r="B4" s="1">
        <f>AVERAGE('All_India_Index_Upto_April23 (1'!J74:J107)</f>
        <v>143.93823529411762</v>
      </c>
    </row>
    <row r="5" spans="1:2" x14ac:dyDescent="0.3">
      <c r="A5">
        <v>2016</v>
      </c>
      <c r="B5" s="1">
        <f>AVERAGE('All_India_Index_Upto_April23 (1'!J110:J143)</f>
        <v>146.44705882352937</v>
      </c>
    </row>
    <row r="6" spans="1:2" x14ac:dyDescent="0.3">
      <c r="A6">
        <v>2017</v>
      </c>
      <c r="B6" s="1">
        <f>AVERAGE('All_India_Index_Upto_April23 (1'!J146:J179)</f>
        <v>143.64999999999998</v>
      </c>
    </row>
    <row r="7" spans="1:2" x14ac:dyDescent="0.3">
      <c r="A7">
        <v>2018</v>
      </c>
      <c r="B7" s="1">
        <f>AVERAGE('All_India_Index_Upto_April23 (1'!J182:J215)</f>
        <v>144.68823529411765</v>
      </c>
    </row>
    <row r="8" spans="1:2" x14ac:dyDescent="0.3">
      <c r="A8">
        <v>2019</v>
      </c>
      <c r="B8" s="1">
        <f>AVERAGE('All_India_Index_Upto_April23 (1'!J218:J248)</f>
        <v>161.52258064516124</v>
      </c>
    </row>
    <row r="9" spans="1:2" x14ac:dyDescent="0.3">
      <c r="A9">
        <v>2020</v>
      </c>
      <c r="B9" s="1">
        <f>AVERAGE('All_India_Index_Upto_April23 (1'!J251:J284)</f>
        <v>184.5774193548387</v>
      </c>
    </row>
    <row r="10" spans="1:2" x14ac:dyDescent="0.3">
      <c r="A10">
        <v>2021</v>
      </c>
      <c r="B10" s="1">
        <f>AVERAGE('All_India_Index_Upto_April23 (1'!J287:J320)</f>
        <v>169.40588235294115</v>
      </c>
    </row>
    <row r="11" spans="1:2" x14ac:dyDescent="0.3">
      <c r="A11">
        <v>2022</v>
      </c>
      <c r="B11" s="1">
        <f>AVERAGE('All_India_Index_Upto_April23 (1'!J323:J356)</f>
        <v>183.12647058823532</v>
      </c>
    </row>
    <row r="12" spans="1:2" x14ac:dyDescent="0.3">
      <c r="A12">
        <v>2023</v>
      </c>
      <c r="B12" s="1">
        <f>AVERAGE('All_India_Index_Upto_April23 (1'!J359:J371)</f>
        <v>156.76153846153849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All_India_Index_Upto_April23 (1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Usha</dc:creator>
  <cp:lastModifiedBy>K USHA</cp:lastModifiedBy>
  <dcterms:created xsi:type="dcterms:W3CDTF">2025-05-19T05:48:47Z</dcterms:created>
  <dcterms:modified xsi:type="dcterms:W3CDTF">2025-12-12T06:19:34Z</dcterms:modified>
</cp:coreProperties>
</file>